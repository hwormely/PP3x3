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Waterfall" sheetId="1" state="visible" r:id="rId3"/>
    <sheet name="Prize Spli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<sst xmlns="http://schemas.openxmlformats.org/spreadsheetml/2006/main" count="39" uniqueCount="37">
  <si>
    <t xml:space="preserve">Pervis Polk Cup — 50-Team Budget</t>
  </si>
  <si>
    <t xml:space="preserve">Blue cells = inputs you can change. Everything recalculates.</t>
  </si>
  <si>
    <t xml:space="preserve">Line item</t>
  </si>
  <si>
    <t xml:space="preserve">Amount</t>
  </si>
  <si>
    <t xml:space="preserve">Note</t>
  </si>
  <si>
    <t xml:space="preserve">Teams</t>
  </si>
  <si>
    <t xml:space="preserve">field size</t>
  </si>
  <si>
    <t xml:space="preserve">Entry fee per team</t>
  </si>
  <si>
    <t xml:space="preserve">$50/player × 5</t>
  </si>
  <si>
    <t xml:space="preserve">ENTRY REVENUE</t>
  </si>
  <si>
    <t xml:space="preserve">teams × fee</t>
  </si>
  <si>
    <t xml:space="preserve">Donation — 3 schools × $1,000</t>
  </si>
  <si>
    <t xml:space="preserve">$1,000 per school (the floor)</t>
  </si>
  <si>
    <t xml:space="preserve">Operations</t>
  </si>
  <si>
    <t xml:space="preserve">balls, medals, water, printing, first-aid, refs</t>
  </si>
  <si>
    <t xml:space="preserve">Jerseys</t>
  </si>
  <si>
    <t xml:space="preserve">team jerseys / shirts</t>
  </si>
  <si>
    <t xml:space="preserve">PP3x3 committee profit</t>
  </si>
  <si>
    <t xml:space="preserve">set-aside for the committee</t>
  </si>
  <si>
    <t xml:space="preserve">PRIZE POOL (remainder)</t>
  </si>
  <si>
    <t xml:space="preserve">what's left for cash prizes</t>
  </si>
  <si>
    <t xml:space="preserve">Check: all allocations should sum to entry revenue.</t>
  </si>
  <si>
    <t xml:space="preserve">Allocated total</t>
  </si>
  <si>
    <t xml:space="preserve">Prize Pool Distribution</t>
  </si>
  <si>
    <t xml:space="preserve">Prize pool links from the Budget sheet. Adjust weights (blue) to re-split.</t>
  </si>
  <si>
    <t xml:space="preserve">Prize</t>
  </si>
  <si>
    <t xml:space="preserve">Weight</t>
  </si>
  <si>
    <t xml:space="preserve">Prize pool (from Budget)</t>
  </si>
  <si>
    <t xml:space="preserve">Champion</t>
  </si>
  <si>
    <t xml:space="preserve">Pervis Polk Cup winner</t>
  </si>
  <si>
    <t xml:space="preserve">Runner-Up</t>
  </si>
  <si>
    <t xml:space="preserve">finalist</t>
  </si>
  <si>
    <t xml:space="preserve">3rd Place</t>
  </si>
  <si>
    <t xml:space="preserve">3rd-place game winner</t>
  </si>
  <si>
    <t xml:space="preserve">Consolation Champion</t>
  </si>
  <si>
    <t xml:space="preserve">consolation bracket winner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</si>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</sst>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\$#,##0"/>
    <numFmt numFmtId="167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3261F"/>
      <name val="Oswald"/>
      <family val="0"/>
      <charset val="1"/>
    </font>
    <font>
      <i val="true"/>
      <sz val="11"/>
      <color rgb="FF666666"/>
      <name val="Archivo"/>
      <family val="0"/>
      <charset val="1"/>
    </font>
    <font>
      <b val="true"/>
      <sz val="11"/>
      <color rgb="FFFFFFFF"/>
      <name val="Oswald"/>
      <family val="0"/>
      <charset val="1"/>
    </font>
    <font>
      <sz val="11"/>
      <color rgb="FF000000"/>
      <name val="Archivo"/>
      <family val="0"/>
      <charset val="1"/>
    </font>
    <font>
      <sz val="11"/>
      <color rgb="FF0000FF"/>
      <name val="Archivo"/>
      <family val="0"/>
      <charset val="1"/>
    </font>
    <font>
      <i val="true"/>
      <sz val="11"/>
      <color rgb="FF555555"/>
      <name val="Archivo"/>
      <family val="0"/>
      <charset val="1"/>
    </font>
    <font>
      <b val="true"/>
      <sz val="11"/>
      <color rgb="FF000000"/>
      <name val="Oswald"/>
      <family val="0"/>
      <charset val="1"/>
    </font>
    <font>
      <i val="true"/>
      <sz val="11"/>
      <color rgb="FF23261F"/>
      <name val="Archivo"/>
      <family val="0"/>
      <charset val="1"/>
    </font>
    <font>
      <b val="true"/>
      <sz val="15"/>
      <color rgb="FF23261F"/>
      <name val="Oswald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3261F"/>
        <bgColor rgb="FF333300"/>
      </patternFill>
    </fill>
    <fill>
      <patternFill patternType="solid">
        <fgColor rgb="FFE8EEF7"/>
        <bgColor rgb="FFDCEFE2"/>
      </patternFill>
    </fill>
    <fill>
      <patternFill patternType="solid">
        <fgColor rgb="FFF2E6C0"/>
        <bgColor rgb="FFE4E2DA"/>
      </patternFill>
    </fill>
    <fill>
      <patternFill patternType="solid">
        <fgColor rgb="FFDCEFE2"/>
        <bgColor rgb="FFE8EEF7"/>
      </patternFill>
    </fill>
    <fill>
      <patternFill patternType="solid">
        <fgColor rgb="FFE4E2DA"/>
        <bgColor rgb="FFDCEFE2"/>
      </patternFill>
    </fill>
    <fill>
      <patternFill patternType="solid">
        <fgColor rgb="FF033B7A"/>
        <bgColor rgb="FF23261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2E6C0"/>
      <rgbColor rgb="FFE8EEF7"/>
      <rgbColor rgb="FF660066"/>
      <rgbColor rgb="FFFF8080"/>
      <rgbColor rgb="FF0066CC"/>
      <rgbColor rgb="FFE4E2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FE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33B7A"/>
      <rgbColor rgb="FF339966"/>
      <rgbColor rgb="FF003300"/>
      <rgbColor rgb="FF333300"/>
      <rgbColor rgb="FF993300"/>
      <rgbColor rgb="FF993366"/>
      <rgbColor rgb="FF555555"/>
      <rgbColor rgb="FF2326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24.6" hidden="false" customHeight="true" outlineLevel="0" collapsed="false">
      <c r="A1" s="1" t="s">
        <v>0</v>
      </c>
      <c r="B1" s="1"/>
      <c r="C1" s="1"/>
    </row>
    <row r="2" customFormat="false" ht="15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50</v>
      </c>
      <c r="C5" s="6" t="s">
        <v>6</v>
      </c>
    </row>
    <row r="6" customFormat="false" ht="15" hidden="false" customHeight="false" outlineLevel="0" collapsed="false">
      <c r="A6" s="4" t="s">
        <v>7</v>
      </c>
      <c r="B6" s="7" t="n">
        <v>250</v>
      </c>
      <c r="C6" s="6" t="s">
        <v>8</v>
      </c>
    </row>
    <row r="7" customFormat="false" ht="17.9" hidden="false" customHeight="false" outlineLevel="0" collapsed="false">
      <c r="A7" s="8" t="s">
        <v>9</v>
      </c>
      <c r="B7" s="9" t="n">
        <f aca="false">B5*B6</f>
        <v>12500</v>
      </c>
      <c r="C7" s="6" t="s">
        <v>10</v>
      </c>
    </row>
    <row r="9" customFormat="false" ht="15" hidden="false" customHeight="false" outlineLevel="0" collapsed="false">
      <c r="A9" s="4" t="s">
        <v>11</v>
      </c>
      <c r="B9" s="7" t="n">
        <v>3000</v>
      </c>
      <c r="C9" s="6" t="s">
        <v>12</v>
      </c>
    </row>
    <row r="10" customFormat="false" ht="15" hidden="false" customHeight="false" outlineLevel="0" collapsed="false">
      <c r="A10" s="4" t="s">
        <v>13</v>
      </c>
      <c r="B10" s="7" t="n">
        <v>2000</v>
      </c>
      <c r="C10" s="6" t="s">
        <v>14</v>
      </c>
    </row>
    <row r="11" customFormat="false" ht="15" hidden="false" customHeight="false" outlineLevel="0" collapsed="false">
      <c r="A11" s="4" t="s">
        <v>15</v>
      </c>
      <c r="B11" s="7" t="n">
        <v>1500</v>
      </c>
      <c r="C11" s="6" t="s">
        <v>16</v>
      </c>
    </row>
    <row r="12" customFormat="false" ht="15" hidden="false" customHeight="false" outlineLevel="0" collapsed="false">
      <c r="A12" s="4" t="s">
        <v>17</v>
      </c>
      <c r="B12" s="7" t="n">
        <v>3000</v>
      </c>
      <c r="C12" s="6" t="s">
        <v>18</v>
      </c>
    </row>
    <row r="13" customFormat="false" ht="17.9" hidden="false" customHeight="false" outlineLevel="0" collapsed="false">
      <c r="A13" s="10" t="s">
        <v>19</v>
      </c>
      <c r="B13" s="11" t="n">
        <f aca="false">B7-B9-B10-B11-B12</f>
        <v>3000</v>
      </c>
      <c r="C13" s="6" t="s">
        <v>20</v>
      </c>
    </row>
    <row r="15" customFormat="false" ht="13.4" hidden="false" customHeight="true" outlineLevel="0" collapsed="false">
      <c r="A15" s="12" t="s">
        <v>21</v>
      </c>
      <c r="B15" s="12"/>
      <c r="C15" s="12"/>
    </row>
    <row r="16" customFormat="false" ht="17.9" hidden="false" customHeight="false" outlineLevel="0" collapsed="false">
      <c r="A16" s="13" t="s">
        <v>22</v>
      </c>
      <c r="B16" s="14" t="n">
        <f aca="false">B9+B10+B11+B12+B13</f>
        <v>12500</v>
      </c>
      <c r="C16" s="15" t="str">
        <f aca="false">IF(B16=B7,"✓ balances","CHECK")</f>
        <v>✓ balances</v>
      </c>
    </row>
  </sheetData>
  <mergeCells count="3">
    <mergeCell ref="A1:C1"/>
    <mergeCell ref="A2:C2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4"/>
    <col collapsed="false" customWidth="true" hidden="false" outlineLevel="0" max="4" min="4" style="0" width="30"/>
  </cols>
  <sheetData>
    <row r="1" customFormat="false" ht="23.85" hidden="false" customHeight="true" outlineLevel="0" collapsed="false">
      <c r="A1" s="16" t="s">
        <v>23</v>
      </c>
      <c r="B1" s="16"/>
      <c r="C1" s="16"/>
      <c r="D1" s="16"/>
    </row>
    <row r="2" customFormat="false" ht="15" hidden="false" customHeight="true" outlineLevel="0" collapsed="false">
      <c r="A2" s="2" t="s">
        <v>24</v>
      </c>
      <c r="B2" s="2"/>
      <c r="C2" s="2"/>
      <c r="D2" s="2"/>
    </row>
    <row r="4" customFormat="false" ht="15" hidden="false" customHeight="false" outlineLevel="0" collapsed="false">
      <c r="A4" s="17" t="s">
        <v>25</v>
      </c>
      <c r="B4" s="17" t="s">
        <v>26</v>
      </c>
      <c r="C4" s="17" t="s">
        <v>3</v>
      </c>
      <c r="D4" s="17" t="s">
        <v>4</v>
      </c>
    </row>
    <row r="5" customFormat="false" ht="17.9" hidden="false" customHeight="true" outlineLevel="0" collapsed="false">
      <c r="A5" s="13" t="s">
        <v>27</v>
      </c>
      <c r="B5" s="13"/>
      <c r="C5" s="11" t="n">
        <f aca="false">'Budget Waterfall'!B13</f>
        <v>3000</v>
      </c>
    </row>
    <row r="6" customFormat="false" ht="15" hidden="false" customHeight="false" outlineLevel="0" collapsed="false">
      <c r="A6" s="4" t="s">
        <v>28</v>
      </c>
      <c r="B6" s="18" t="n">
        <v>0.45</v>
      </c>
      <c r="C6" s="19" t="n">
        <f aca="false">ROUND($C$5*B6/25,0)*25</f>
        <v>1350</v>
      </c>
      <c r="D6" s="6" t="s">
        <v>29</v>
      </c>
    </row>
    <row r="7" customFormat="false" ht="15" hidden="false" customHeight="false" outlineLevel="0" collapsed="false">
      <c r="A7" s="4" t="s">
        <v>30</v>
      </c>
      <c r="B7" s="18" t="n">
        <v>0.25</v>
      </c>
      <c r="C7" s="19" t="n">
        <f aca="false">ROUND($C$5*B7/25,0)*25</f>
        <v>750</v>
      </c>
      <c r="D7" s="6" t="s">
        <v>31</v>
      </c>
    </row>
    <row r="8" customFormat="false" ht="15" hidden="false" customHeight="false" outlineLevel="0" collapsed="false">
      <c r="A8" s="4" t="s">
        <v>32</v>
      </c>
      <c r="B8" s="18" t="n">
        <v>0.15</v>
      </c>
      <c r="C8" s="19" t="n">
        <f aca="false">ROUND($C$5*B8/25,0)*25</f>
        <v>450</v>
      </c>
      <c r="D8" s="6" t="s">
        <v>33</v>
      </c>
    </row>
    <row r="9" customFormat="false" ht="15" hidden="false" customHeight="false" outlineLevel="0" collapsed="false">
      <c r="A9" s="4" t="s">
        <v>34</v>
      </c>
      <c r="B9" s="18" t="n">
        <v>0.15</v>
      </c>
      <c r="C9" s="19" t="n">
        <f aca="false">ROUND($C$5*B9/25,0)*25</f>
        <v>450</v>
      </c>
      <c r="D9" s="6" t="s">
        <v>35</v>
      </c>
    </row>
    <row r="10" customFormat="false" ht="17.9" hidden="false" customHeight="false" outlineLevel="0" collapsed="false">
      <c r="A10" s="13" t="s">
        <v>36</v>
      </c>
      <c r="B10" s="20" t="n">
        <f aca="false">SUM(B6:B9)</f>
        <v>1</v>
      </c>
      <c r="C10" s="14" t="n">
        <f aca="false">SUM(C6:C9)</f>
        <v>3000</v>
      </c>
      <c r="D10" s="15" t="str">
        <f aca="false">IF(C10=C5,"✓ matches pool","adjust weights")</f>
        <v>✓ matches pool</v>
      </c>
    </row>
  </sheetData>
  <mergeCells count="3">
    <mergeCell ref="A1:D1"/>
    <mergeCell ref="A2:D2"/>
    <mergeCell ref="A5:B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2026-06-22T19:23:23Z</dcterms:created>
  <dc:creator>openpyxl</dc:creator>
  <dc:description/>
  <dc:language>en-US</dc:language>
  <cp:lastModifiedBy/>
  <dcterms:modified xsi:type="dcterms:W3CDTF">2026-06-22T19:23:23Z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